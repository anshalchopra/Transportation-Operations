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alchopra/Documents/Portfolio/transportation ops/data_dictionary/"/>
    </mc:Choice>
  </mc:AlternateContent>
  <xr:revisionPtr revIDLastSave="0" documentId="13_ncr:1_{B6B8A3FF-C602-FF45-9B6B-8964EED37E0B}" xr6:coauthVersionLast="47" xr6:coauthVersionMax="47" xr10:uidLastSave="{00000000-0000-0000-0000-000000000000}"/>
  <bookViews>
    <workbookView xWindow="0" yWindow="660" windowWidth="29400" windowHeight="18460" xr2:uid="{65DEE56D-4190-3C46-B0EC-0FCB91BFC0F5}"/>
  </bookViews>
  <sheets>
    <sheet name="Datasets" sheetId="1" r:id="rId1"/>
    <sheet name="YardInfo" sheetId="6" r:id="rId2"/>
    <sheet name="EquipmentInfo" sheetId="2" r:id="rId3"/>
    <sheet name="BOLInfo" sheetId="5" r:id="rId4"/>
    <sheet name="TripsInfo" sheetId="4" r:id="rId5"/>
    <sheet name="CostInfo" sheetId="9" r:id="rId6"/>
    <sheet name="EquipmentTracking" sheetId="3" r:id="rId7"/>
    <sheet name="RateCard" sheetId="10" r:id="rId8"/>
    <sheet name="YardEquipmentPricing" sheetId="7" r:id="rId9"/>
    <sheet name="PricingTier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5" i="1"/>
  <c r="A4" i="10"/>
  <c r="A5" i="10" s="1"/>
  <c r="A6" i="10" s="1"/>
  <c r="A7" i="10" s="1"/>
  <c r="A8" i="10" s="1"/>
  <c r="A9" i="10" s="1"/>
  <c r="A3" i="10"/>
  <c r="A6" i="9"/>
  <c r="A7" i="9" s="1"/>
  <c r="A8" i="9" s="1"/>
  <c r="A9" i="9" s="1"/>
  <c r="A10" i="9" s="1"/>
  <c r="A11" i="9" s="1"/>
  <c r="A12" i="9" s="1"/>
  <c r="A4" i="9"/>
  <c r="A5" i="9" s="1"/>
  <c r="A3" i="9"/>
  <c r="A4" i="7"/>
  <c r="A5" i="7" s="1"/>
  <c r="A6" i="7" s="1"/>
  <c r="A7" i="7" s="1"/>
  <c r="A8" i="7" s="1"/>
  <c r="A9" i="7" s="1"/>
  <c r="A10" i="7" s="1"/>
  <c r="A11" i="7" s="1"/>
  <c r="A3" i="7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</calcChain>
</file>

<file path=xl/sharedStrings.xml><?xml version="1.0" encoding="utf-8"?>
<sst xmlns="http://schemas.openxmlformats.org/spreadsheetml/2006/main" count="247" uniqueCount="206">
  <si>
    <t>Logistics Dataset Data Dictionary</t>
  </si>
  <si>
    <t>Datasets</t>
  </si>
  <si>
    <t>S. No.</t>
  </si>
  <si>
    <t xml:space="preserve">Attributes </t>
  </si>
  <si>
    <t>S.No.</t>
  </si>
  <si>
    <t>EquipmentInfo</t>
  </si>
  <si>
    <t>equip_type</t>
  </si>
  <si>
    <t>home_yard_id</t>
  </si>
  <si>
    <t>company_id</t>
  </si>
  <si>
    <t>last_maintenance_date</t>
  </si>
  <si>
    <t>maintenance_interval_days</t>
  </si>
  <si>
    <t>Description</t>
  </si>
  <si>
    <t>Unique identifier for the equipment unit (trailer, chassis, or other non-powered asset).</t>
  </si>
  <si>
    <t>Type of equipment, such as container, trailer or chassis. Determines operational capabilities and constraints.</t>
  </si>
  <si>
    <t>Internal usable length of the equipment, typically measured in meters. Used for capacity and cargo-fit calculations.</t>
  </si>
  <si>
    <t>Internal usable width of the equipment, typically measured in meters.</t>
  </si>
  <si>
    <t>Internal usable height of the equipment, typically measured in meters.</t>
  </si>
  <si>
    <t>Identifier of the yard or depot where the equipment is primarily stationed when idle.</t>
  </si>
  <si>
    <t>Identifier of the company that owns or leases the equipment.</t>
  </si>
  <si>
    <t>Maximum allowable payload weight the equipment can safely carry, expressed in tonnes.</t>
  </si>
  <si>
    <t>Temperature control capability of the equipment (e.g., none, refrigerated, insulated, heated). Used to determine suitability for perishable or temperature-sensitive cargo.</t>
  </si>
  <si>
    <t>Number of axles on the equipment. Impacts legal load limits, maneuverability, and maintenance requirements.</t>
  </si>
  <si>
    <t>Year the equipment was manufactured. Used as a proxy for age, depreciation, and maintenance risk.</t>
  </si>
  <si>
    <t>Date on which the most recent preventive maintenance was completed on the equipment.</t>
  </si>
  <si>
    <t>Planned number of days between scheduled preventive maintenance activities for the equipment. Used to assess maintenance due status and breakdown risk.</t>
  </si>
  <si>
    <r>
      <t>Maximum allowable payload volume the equipment can safely carry, expressed in m</t>
    </r>
    <r>
      <rPr>
        <i/>
        <sz val="12"/>
        <color rgb="FF000000"/>
        <rFont val="Aptos Narrow"/>
        <scheme val="minor"/>
      </rPr>
      <t>3</t>
    </r>
    <r>
      <rPr>
        <sz val="12"/>
        <color rgb="FF000000"/>
        <rFont val="Aptos Narrow"/>
        <scheme val="minor"/>
      </rPr>
      <t>.</t>
    </r>
  </si>
  <si>
    <t>equip_id</t>
  </si>
  <si>
    <t>equip_length</t>
  </si>
  <si>
    <t>equip_width</t>
  </si>
  <si>
    <t>equip_height</t>
  </si>
  <si>
    <t>eqip_max_payload</t>
  </si>
  <si>
    <t>eqip_max_volume</t>
  </si>
  <si>
    <t>equip_temp_type</t>
  </si>
  <si>
    <t>equip_axle_count</t>
  </si>
  <si>
    <t>equip_manufacture_year</t>
  </si>
  <si>
    <t>trip_id</t>
  </si>
  <si>
    <t>driver_id</t>
  </si>
  <si>
    <t>trip_payload</t>
  </si>
  <si>
    <t>trip_volume</t>
  </si>
  <si>
    <t>bol_id</t>
  </si>
  <si>
    <t>leg_id</t>
  </si>
  <si>
    <t>src_lat</t>
  </si>
  <si>
    <t>src_lon</t>
  </si>
  <si>
    <t>dest_lat</t>
  </si>
  <si>
    <t>dest_lon</t>
  </si>
  <si>
    <t>sensor_id</t>
  </si>
  <si>
    <t>cur_lat</t>
  </si>
  <si>
    <t>TripsInfo</t>
  </si>
  <si>
    <t>Attributes</t>
  </si>
  <si>
    <t>timestamp</t>
  </si>
  <si>
    <t>cur_lon</t>
  </si>
  <si>
    <t>cargo_humidity_pct</t>
  </si>
  <si>
    <t>cargo_temp_c</t>
  </si>
  <si>
    <t>ambient_temp_c</t>
  </si>
  <si>
    <t>ambient_humidity_pct</t>
  </si>
  <si>
    <t>speed_kph</t>
  </si>
  <si>
    <t>sensor_battery_pct</t>
  </si>
  <si>
    <t>equip_status</t>
  </si>
  <si>
    <t>Identifier of the equipment (e.g., trailer or chassis) assigned to the trip. Used to link capacity and equipment characteristics.</t>
  </si>
  <si>
    <t>Identifier of the driver responsible for executing the trip. Used for operational accountability and performance analysis.</t>
  </si>
  <si>
    <t>Latitude of the trip’s origin location where the shipment is picked up.</t>
  </si>
  <si>
    <t>Longitude of the trip’s origin location where the shipment is picked up.</t>
  </si>
  <si>
    <t>Latitude of the trip’s destination location where the shipment is delivered.</t>
  </si>
  <si>
    <t>Longitude of the trip’s destination location where the shipment is delivered.</t>
  </si>
  <si>
    <t>Bill of Lading identifier associated with the shipment. Represents the contractual shipment document for the trip.</t>
  </si>
  <si>
    <t>Identifier for a specific leg within a multi-leg trip. Enables analysis of intermediate stops or transshipment points.</t>
  </si>
  <si>
    <t>Planned payload weight for the trip, expressed in tonnes. Used for capacity utilization and cost calculations.</t>
  </si>
  <si>
    <t>Planned cargo volume for the trip, expressed in cubic meters. Used to evaluate space utilization within the equipment.</t>
  </si>
  <si>
    <t xml:space="preserve">Unique identifier for a trip or shipment movement. </t>
  </si>
  <si>
    <t>Identifier of the trip currently being executed when the telemetry reading was recorded. Used to associate sensor data with a specific shipment movement.</t>
  </si>
  <si>
    <t>Identifier of the equipment (e.g., trailer or chassis) from which the telemetry data was generated.</t>
  </si>
  <si>
    <t>Identifier of the driver operating the equipment at the time of the telemetry reading.</t>
  </si>
  <si>
    <t>Identifier of the IoT sensor or telematics device installed on the equipment generating the reading.</t>
  </si>
  <si>
    <t>Date and time at which the telemetry reading was captured, in UTC or a defined standard timezone.</t>
  </si>
  <si>
    <t>Latitude of the equipment’s current geographic position at the time of the reading.</t>
  </si>
  <si>
    <t>Longitude of the equipment’s current geographic position at the time of the reading.</t>
  </si>
  <si>
    <t>Temperature inside the cargo area of the equipment, measured in degrees Celsius. Used to monitor temperature-sensitive shipments.</t>
  </si>
  <si>
    <t>Relative humidity inside the cargo area, expressed as a percentage. Used to assess cargo condition risk.</t>
  </si>
  <si>
    <t>External ambient temperature surrounding the equipment, obtained via the telematics device based on current location.</t>
  </si>
  <si>
    <t>External ambient relative humidity, expressed as a percentage, corresponding to the equipment’s current location.</t>
  </si>
  <si>
    <t>Instantaneous speed of the equipment at the time of the telemetry reading, measured in kilometers per hour.</t>
  </si>
  <si>
    <t>Remaining battery level of the IoT sensor device, expressed as a percentage. Used to assess data reliability and potential signal loss.</t>
  </si>
  <si>
    <t>Operational status of the equipment at the time of the reading (e.g., in_transit, idle, loading, stalled, refueling).</t>
  </si>
  <si>
    <t>BOLInfo</t>
  </si>
  <si>
    <t>leg_src</t>
  </si>
  <si>
    <t>leg_dest</t>
  </si>
  <si>
    <t>leg_src_lat</t>
  </si>
  <si>
    <t>leg_src_lon</t>
  </si>
  <si>
    <t>leg_dest_lat</t>
  </si>
  <si>
    <t>leg_dest_lon</t>
  </si>
  <si>
    <t>driver_alotted</t>
  </si>
  <si>
    <t>sch_depart</t>
  </si>
  <si>
    <t>sch_eta</t>
  </si>
  <si>
    <t>offload_time</t>
  </si>
  <si>
    <t>leg_seq</t>
  </si>
  <si>
    <t>act_depart</t>
  </si>
  <si>
    <t>act_arrival</t>
  </si>
  <si>
    <t>leg_status</t>
  </si>
  <si>
    <t>delay_reason</t>
  </si>
  <si>
    <t>Unique identifier of the Bill of Lading representing the contractual shipment document for the freight movement.</t>
  </si>
  <si>
    <t>Identifier for a specific leg within the Bill of Lading, representing one segment of a multi-leg shipment.</t>
  </si>
  <si>
    <t>Sequence number indicating the execution order of the leg within the overall shipment.</t>
  </si>
  <si>
    <t>Name or code of the source location where the leg begins.</t>
  </si>
  <si>
    <t>Latitude of the source location for the leg.</t>
  </si>
  <si>
    <t>Longitude of the source location for the leg.</t>
  </si>
  <si>
    <t>Name or code of the destination location where the leg ends.</t>
  </si>
  <si>
    <t>Latitude of the destination location for the leg.</t>
  </si>
  <si>
    <t>Longitude of the destination location for the leg.</t>
  </si>
  <si>
    <t>Identifier of the driver assigned to execute the leg.</t>
  </si>
  <si>
    <t>Scheduled departure date and time for the leg as per the operational plan.</t>
  </si>
  <si>
    <t>Scheduled estimated time of arrival for the leg as per the operational plan.</t>
  </si>
  <si>
    <t>Actual date and time at which the leg departed from the source location.</t>
  </si>
  <si>
    <t>Actual date and time at which the leg arrived at the destination location.</t>
  </si>
  <si>
    <t>Time taken to offload cargo at the destination for the leg, typically measured in minutes.</t>
  </si>
  <si>
    <t>Current or final operational status of the leg (e.g., planned, in_progress, completed, delayed, cancelled).</t>
  </si>
  <si>
    <t>Primary reason for any delay incurred during the leg, such as traffic, weather, loading delays, or equipment-related issues.</t>
  </si>
  <si>
    <t>YardInfo</t>
  </si>
  <si>
    <t>yard_lat</t>
  </si>
  <si>
    <t>yard_lon</t>
  </si>
  <si>
    <t>yard_id</t>
  </si>
  <si>
    <t>yard_name</t>
  </si>
  <si>
    <t>yard_type</t>
  </si>
  <si>
    <t xml:space="preserve">issued </t>
  </si>
  <si>
    <t>Yes/No whether the equipment is currently in use.</t>
  </si>
  <si>
    <t>max_trailer_capacity</t>
  </si>
  <si>
    <t>max_container_capacity</t>
  </si>
  <si>
    <t>max_chassis_capacity</t>
  </si>
  <si>
    <t>currency</t>
  </si>
  <si>
    <t>effective_from</t>
  </si>
  <si>
    <t>effective_to</t>
  </si>
  <si>
    <t>billing_unit</t>
  </si>
  <si>
    <t>pricing_id</t>
  </si>
  <si>
    <t>base_rental_rate</t>
  </si>
  <si>
    <t>free_time_days</t>
  </si>
  <si>
    <t>insurance_rate</t>
  </si>
  <si>
    <t>parking_rate_included_flag</t>
  </si>
  <si>
    <t xml:space="preserve">S.No. </t>
  </si>
  <si>
    <t>Descriptions</t>
  </si>
  <si>
    <t>tier_id</t>
  </si>
  <si>
    <t>rate</t>
  </si>
  <si>
    <t xml:space="preserve">tier_type </t>
  </si>
  <si>
    <t>YardEquipmentPricing</t>
  </si>
  <si>
    <t>PricingTiers</t>
  </si>
  <si>
    <t>cost_id</t>
  </si>
  <si>
    <t>quantity</t>
  </si>
  <si>
    <t>unit_rate</t>
  </si>
  <si>
    <t>total_cost</t>
  </si>
  <si>
    <t>cost_timestamp</t>
  </si>
  <si>
    <t>rate_id</t>
  </si>
  <si>
    <t>entity_subcategory</t>
  </si>
  <si>
    <t>entity_category</t>
  </si>
  <si>
    <t>cost_unit</t>
  </si>
  <si>
    <t>cost_value</t>
  </si>
  <si>
    <t>CostInfo</t>
  </si>
  <si>
    <t>EquipmentTracking</t>
  </si>
  <si>
    <t>RateCard</t>
  </si>
  <si>
    <t>Unique identifier for the yard or depot where equipment can be stored, staged, or exchanged.</t>
  </si>
  <si>
    <t>Identifier of the company that owns or operates the yard.</t>
  </si>
  <si>
    <t>Human-readable name or code used to identify the yard operationally.</t>
  </si>
  <si>
    <t>Latitude coordinate of the yard location, used for routing, distance calculations, and geospatial analysis.</t>
  </si>
  <si>
    <t>Longitude coordinate of the yard location, used for routing, distance calculations, and geospatial analysis.</t>
  </si>
  <si>
    <t>Classification of the yard based on its operational role (e.g., depot, cross_dock, customer, third_party).</t>
  </si>
  <si>
    <t>Maximum number of trailers the yard is contractually or physically capable of accommodating at any given time.</t>
  </si>
  <si>
    <t>Maximum number of containers the yard is contractually or physically capable of accommodating at any given time.</t>
  </si>
  <si>
    <t>Maximum number of chassis the yard is contractually or physically capable of accommodating at any given time.</t>
  </si>
  <si>
    <t>Unique identifier for the cost record, representing a single realized cost event or charge.</t>
  </si>
  <si>
    <t>Identifier of the Bill of Lading associated with the cost, enabling shipment-level cost aggregation.</t>
  </si>
  <si>
    <t>Identifier of the shipment leg to which the cost applies; nullable for costs spanning multiple legs.</t>
  </si>
  <si>
    <t>High-level entity responsible for or incurring the cost (e.g., trailer, container, chassis, driver, yard, trip).</t>
  </si>
  <si>
    <t>Specific cost type within the entity category (e.g., fuel, base_wage, overtime, parking, damage, detention).</t>
  </si>
  <si>
    <t>Unit on which the cost is calculated (e.g., hour, km, day, event).</t>
  </si>
  <si>
    <t>Measured quantity consumed or incurred for the cost unit (e.g., hours worked, kilometers driven, days parked).</t>
  </si>
  <si>
    <t>Rate applied per cost unit at the time the cost was incurred, derived from the applicable rate card.</t>
  </si>
  <si>
    <r>
      <t>Total realized cost calculated as </t>
    </r>
    <r>
      <rPr>
        <sz val="10"/>
        <color rgb="FF000000"/>
        <rFont val="Arial Unicode MS"/>
        <family val="2"/>
      </rPr>
      <t>quantity × unit_rate</t>
    </r>
    <r>
      <rPr>
        <sz val="12"/>
        <color rgb="FF000000"/>
        <rFont val="Aptos Narrow"/>
        <family val="2"/>
        <scheme val="minor"/>
      </rPr>
      <t>.</t>
    </r>
  </si>
  <si>
    <t>Currency in which the cost is recorded, supporting multi-region operations.</t>
  </si>
  <si>
    <t>Date and time when the cost was incurred or recognized, used for rate matching and time-based analysis.</t>
  </si>
  <si>
    <t>Unique identifier for the rate record, representing a specific cost rate applicable over a defined time period.</t>
  </si>
  <si>
    <t>High-level entity to which the rate applies (e.g., trailer, container, chassis, driver, yard, trip).</t>
  </si>
  <si>
    <t>Specific rate type within the entity category (e.g., rental, fuel, base_wage, overtime, parking, insurance).</t>
  </si>
  <si>
    <t>Unit on which the rate is applied (e.g., hour, km, day, event), matching the unit used in cost calculation.</t>
  </si>
  <si>
    <t>Monetary value charged per unit for the specified entity and cost type during the effective period.</t>
  </si>
  <si>
    <t>Currency in which the rate is defined, supporting historical and multi-region rate comparisons.</t>
  </si>
  <si>
    <t>Start date and time from which the rate becomes valid and applicable for cost calculation.</t>
  </si>
  <si>
    <t>End date and time until which the rate remains valid; null indicates the rate is currently active.</t>
  </si>
  <si>
    <t>Unique identifier for the pricing record defining rental terms for a specific equipment type at a yard.</t>
  </si>
  <si>
    <t>Identifier of the yard where the pricing terms apply.</t>
  </si>
  <si>
    <t>Type of equipment the pricing applies to (e.g., container, trailer, chassis).</t>
  </si>
  <si>
    <t>Time unit used to bill the equipment rental (e.g., day, week).</t>
  </si>
  <si>
    <t>Base rental charge per billing unit for the specified equipment type at the yard.</t>
  </si>
  <si>
    <t>Number of free days allowed before additional time-based penalties (such as demurrage or detention) apply.</t>
  </si>
  <si>
    <t>Time-based insurance charge associated with renting the equipment, typically billed per day or per billing unit.</t>
  </si>
  <si>
    <t>Indicator of whether yard parking charges are included in the base rental rate for the equipment.</t>
  </si>
  <si>
    <t>Start date and time from which the pricing terms become valid and applicable.</t>
  </si>
  <si>
    <t>End date and time until which the pricing terms remain valid; null indicates the pricing is currently active.</t>
  </si>
  <si>
    <t>Example</t>
  </si>
  <si>
    <t>Unique identifier for each pricing tier.</t>
  </si>
  <si>
    <t>1, 2, 3</t>
  </si>
  <si>
    <t>101, 102</t>
  </si>
  <si>
    <t>Standard, Premium</t>
  </si>
  <si>
    <t>Starting day or minimum day the tier is applicable.</t>
  </si>
  <si>
    <t>1, Monday</t>
  </si>
  <si>
    <t>Ending day or maximum day the tier is applicable.</t>
  </si>
  <si>
    <t>7, Sunday</t>
  </si>
  <si>
    <t>Price or cost associated with the tier for the defined day range.</t>
  </si>
  <si>
    <t>500 (per day/unit)</t>
  </si>
  <si>
    <t>Type of tier indicating the nature of the charge or adjustment, e.g., demurrage or discount.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</si>
</sst>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24"/>
      <color theme="1"/>
      <name val="Aptos Narrow (Body)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F080-2E3D-0F4F-B7E9-1968C9DA7DA8}">
  <dimension ref="A1:C12"/>
  <sheetViews>
    <sheetView tabSelected="1" workbookViewId="0">
      <selection activeCell="F11" sqref="F11"/>
    </sheetView>
  </sheetViews>
  <sheetFormatPr baseColWidth="10" defaultRowHeight="16" x14ac:dyDescent="0.2"/>
  <cols>
    <col min="1" max="1" width="5.83203125" bestFit="1" customWidth="1"/>
    <col min="2" max="2" width="15.5" bestFit="1" customWidth="1"/>
    <col min="3" max="3" width="10.5" bestFit="1" customWidth="1"/>
  </cols>
  <sheetData>
    <row r="1" spans="1:3" s="11" customFormat="1" ht="32" x14ac:dyDescent="0.4">
      <c r="A1" s="11" t="s">
        <v>0</v>
      </c>
    </row>
    <row r="3" spans="1:3" x14ac:dyDescent="0.2">
      <c r="A3" s="2" t="s">
        <v>2</v>
      </c>
      <c r="B3" s="2" t="s">
        <v>1</v>
      </c>
      <c r="C3" s="2" t="s">
        <v>11</v>
      </c>
    </row>
    <row r="4" spans="1:3" x14ac:dyDescent="0.2">
      <c r="A4">
        <v>1</v>
      </c>
      <c r="B4" t="s">
        <v>116</v>
      </c>
    </row>
    <row r="5" spans="1:3" x14ac:dyDescent="0.2">
      <c r="A5">
        <f>A4+1</f>
        <v>2</v>
      </c>
      <c r="B5" t="s">
        <v>5</v>
      </c>
    </row>
    <row r="6" spans="1:3" x14ac:dyDescent="0.2">
      <c r="A6">
        <f t="shared" ref="A6:A12" si="0">A5+1</f>
        <v>3</v>
      </c>
      <c r="B6" t="s">
        <v>83</v>
      </c>
    </row>
    <row r="7" spans="1:3" x14ac:dyDescent="0.2">
      <c r="A7">
        <f t="shared" si="0"/>
        <v>4</v>
      </c>
      <c r="B7" t="s">
        <v>47</v>
      </c>
    </row>
    <row r="8" spans="1:3" x14ac:dyDescent="0.2">
      <c r="A8">
        <f t="shared" si="0"/>
        <v>5</v>
      </c>
      <c r="B8" t="s">
        <v>153</v>
      </c>
    </row>
    <row r="9" spans="1:3" x14ac:dyDescent="0.2">
      <c r="A9">
        <f t="shared" si="0"/>
        <v>6</v>
      </c>
      <c r="B9" t="s">
        <v>154</v>
      </c>
    </row>
    <row r="10" spans="1:3" x14ac:dyDescent="0.2">
      <c r="A10">
        <f t="shared" si="0"/>
        <v>7</v>
      </c>
      <c r="B10" t="s">
        <v>155</v>
      </c>
    </row>
    <row r="11" spans="1:3" x14ac:dyDescent="0.2">
      <c r="A11">
        <f t="shared" si="0"/>
        <v>8</v>
      </c>
      <c r="B11" t="s">
        <v>141</v>
      </c>
    </row>
    <row r="12" spans="1:3" x14ac:dyDescent="0.2">
      <c r="A12">
        <f t="shared" si="0"/>
        <v>9</v>
      </c>
      <c r="B12" t="s">
        <v>142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1121-4D5E-E249-8BDC-F035A08345EA}">
  <dimension ref="A1:E11"/>
  <sheetViews>
    <sheetView workbookViewId="0">
      <selection activeCell="D10" sqref="D10"/>
    </sheetView>
  </sheetViews>
  <sheetFormatPr baseColWidth="10" defaultRowHeight="16" x14ac:dyDescent="0.2"/>
  <cols>
    <col min="2" max="2" width="21.1640625" bestFit="1" customWidth="1"/>
    <col min="3" max="3" width="47.6640625" customWidth="1"/>
  </cols>
  <sheetData>
    <row r="1" spans="1:5" x14ac:dyDescent="0.2">
      <c r="A1" s="2" t="s">
        <v>4</v>
      </c>
      <c r="B1" s="2" t="s">
        <v>48</v>
      </c>
      <c r="C1" s="2" t="s">
        <v>11</v>
      </c>
    </row>
    <row r="2" spans="1:5" ht="34" x14ac:dyDescent="0.2">
      <c r="A2" s="9">
        <v>1</v>
      </c>
      <c r="B2" s="9" t="s">
        <v>119</v>
      </c>
      <c r="C2" s="7" t="s">
        <v>156</v>
      </c>
      <c r="D2" s="3"/>
      <c r="E2" s="3"/>
    </row>
    <row r="3" spans="1:5" ht="18" x14ac:dyDescent="0.25">
      <c r="A3" s="9">
        <v>2</v>
      </c>
      <c r="B3" s="9" t="s">
        <v>8</v>
      </c>
      <c r="C3" s="7" t="s">
        <v>157</v>
      </c>
      <c r="D3" s="4"/>
    </row>
    <row r="4" spans="1:5" ht="35" x14ac:dyDescent="0.25">
      <c r="A4" s="9">
        <v>3</v>
      </c>
      <c r="B4" s="9" t="s">
        <v>120</v>
      </c>
      <c r="C4" s="7" t="s">
        <v>158</v>
      </c>
      <c r="D4" s="4"/>
    </row>
    <row r="5" spans="1:5" ht="35" x14ac:dyDescent="0.25">
      <c r="A5" s="9">
        <v>4</v>
      </c>
      <c r="B5" s="9" t="s">
        <v>117</v>
      </c>
      <c r="C5" s="7" t="s">
        <v>159</v>
      </c>
      <c r="D5" s="4"/>
    </row>
    <row r="6" spans="1:5" ht="35" x14ac:dyDescent="0.25">
      <c r="A6" s="9">
        <v>5</v>
      </c>
      <c r="B6" s="9" t="s">
        <v>118</v>
      </c>
      <c r="C6" s="7" t="s">
        <v>160</v>
      </c>
      <c r="D6" s="4"/>
    </row>
    <row r="7" spans="1:5" ht="35" x14ac:dyDescent="0.25">
      <c r="A7" s="9">
        <v>6</v>
      </c>
      <c r="B7" s="9" t="s">
        <v>121</v>
      </c>
      <c r="C7" s="7" t="s">
        <v>161</v>
      </c>
      <c r="D7" s="4"/>
    </row>
    <row r="8" spans="1:5" ht="35" x14ac:dyDescent="0.25">
      <c r="A8" s="9">
        <v>7</v>
      </c>
      <c r="B8" s="9" t="s">
        <v>124</v>
      </c>
      <c r="C8" s="7" t="s">
        <v>162</v>
      </c>
      <c r="D8" s="4"/>
    </row>
    <row r="9" spans="1:5" ht="52" x14ac:dyDescent="0.25">
      <c r="A9" s="9">
        <v>8</v>
      </c>
      <c r="B9" s="9" t="s">
        <v>125</v>
      </c>
      <c r="C9" s="7" t="s">
        <v>163</v>
      </c>
      <c r="D9" s="4"/>
    </row>
    <row r="10" spans="1:5" ht="35" x14ac:dyDescent="0.25">
      <c r="A10" s="9">
        <v>9</v>
      </c>
      <c r="B10" s="9" t="s">
        <v>126</v>
      </c>
      <c r="C10" s="7" t="s">
        <v>164</v>
      </c>
      <c r="D10" s="4"/>
    </row>
    <row r="11" spans="1:5" ht="17" x14ac:dyDescent="0.25">
      <c r="D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7637-35B9-0148-8AE4-C07D5272A704}">
  <dimension ref="A1:C16"/>
  <sheetViews>
    <sheetView workbookViewId="0">
      <selection activeCell="C15" sqref="C15"/>
    </sheetView>
  </sheetViews>
  <sheetFormatPr baseColWidth="10" defaultRowHeight="16" x14ac:dyDescent="0.2"/>
  <cols>
    <col min="2" max="2" width="23.6640625" bestFit="1" customWidth="1"/>
    <col min="3" max="3" width="54.6640625" customWidth="1"/>
  </cols>
  <sheetData>
    <row r="1" spans="1:3" x14ac:dyDescent="0.2">
      <c r="A1" s="5" t="s">
        <v>4</v>
      </c>
      <c r="B1" s="5" t="s">
        <v>3</v>
      </c>
      <c r="C1" s="5" t="s">
        <v>11</v>
      </c>
    </row>
    <row r="2" spans="1:3" ht="34" x14ac:dyDescent="0.2">
      <c r="A2" s="9">
        <v>1</v>
      </c>
      <c r="B2" s="10" t="s">
        <v>26</v>
      </c>
      <c r="C2" s="1" t="s">
        <v>12</v>
      </c>
    </row>
    <row r="3" spans="1:3" ht="34" x14ac:dyDescent="0.2">
      <c r="A3" s="9">
        <f>A2+1</f>
        <v>2</v>
      </c>
      <c r="B3" s="10" t="s">
        <v>6</v>
      </c>
      <c r="C3" s="1" t="s">
        <v>13</v>
      </c>
    </row>
    <row r="4" spans="1:3" ht="34" x14ac:dyDescent="0.2">
      <c r="A4" s="9">
        <f t="shared" ref="A4:A15" si="0">A3+1</f>
        <v>3</v>
      </c>
      <c r="B4" s="10" t="s">
        <v>27</v>
      </c>
      <c r="C4" s="1" t="s">
        <v>14</v>
      </c>
    </row>
    <row r="5" spans="1:3" ht="34" x14ac:dyDescent="0.2">
      <c r="A5" s="9">
        <f t="shared" si="0"/>
        <v>4</v>
      </c>
      <c r="B5" s="10" t="s">
        <v>28</v>
      </c>
      <c r="C5" s="1" t="s">
        <v>15</v>
      </c>
    </row>
    <row r="6" spans="1:3" ht="34" x14ac:dyDescent="0.2">
      <c r="A6" s="9">
        <f t="shared" si="0"/>
        <v>5</v>
      </c>
      <c r="B6" s="10" t="s">
        <v>29</v>
      </c>
      <c r="C6" s="1" t="s">
        <v>16</v>
      </c>
    </row>
    <row r="7" spans="1:3" ht="34" x14ac:dyDescent="0.2">
      <c r="A7" s="9">
        <f t="shared" si="0"/>
        <v>6</v>
      </c>
      <c r="B7" s="10" t="s">
        <v>7</v>
      </c>
      <c r="C7" s="1" t="s">
        <v>17</v>
      </c>
    </row>
    <row r="8" spans="1:3" ht="17" x14ac:dyDescent="0.2">
      <c r="A8" s="9">
        <f t="shared" si="0"/>
        <v>7</v>
      </c>
      <c r="B8" s="10" t="s">
        <v>8</v>
      </c>
      <c r="C8" s="1" t="s">
        <v>18</v>
      </c>
    </row>
    <row r="9" spans="1:3" ht="34" x14ac:dyDescent="0.2">
      <c r="A9" s="9">
        <f t="shared" si="0"/>
        <v>8</v>
      </c>
      <c r="B9" s="10" t="s">
        <v>30</v>
      </c>
      <c r="C9" s="1" t="s">
        <v>19</v>
      </c>
    </row>
    <row r="10" spans="1:3" ht="34" x14ac:dyDescent="0.2">
      <c r="A10" s="9">
        <f t="shared" si="0"/>
        <v>9</v>
      </c>
      <c r="B10" s="10" t="s">
        <v>31</v>
      </c>
      <c r="C10" s="1" t="s">
        <v>25</v>
      </c>
    </row>
    <row r="11" spans="1:3" ht="51" x14ac:dyDescent="0.2">
      <c r="A11" s="9">
        <f t="shared" si="0"/>
        <v>10</v>
      </c>
      <c r="B11" s="10" t="s">
        <v>32</v>
      </c>
      <c r="C11" s="1" t="s">
        <v>20</v>
      </c>
    </row>
    <row r="12" spans="1:3" ht="34" x14ac:dyDescent="0.2">
      <c r="A12" s="9">
        <f t="shared" si="0"/>
        <v>11</v>
      </c>
      <c r="B12" s="10" t="s">
        <v>33</v>
      </c>
      <c r="C12" s="1" t="s">
        <v>21</v>
      </c>
    </row>
    <row r="13" spans="1:3" ht="34" x14ac:dyDescent="0.2">
      <c r="A13" s="9">
        <f t="shared" si="0"/>
        <v>12</v>
      </c>
      <c r="B13" s="10" t="s">
        <v>34</v>
      </c>
      <c r="C13" s="1" t="s">
        <v>22</v>
      </c>
    </row>
    <row r="14" spans="1:3" ht="34" x14ac:dyDescent="0.2">
      <c r="A14" s="9">
        <f t="shared" si="0"/>
        <v>13</v>
      </c>
      <c r="B14" s="10" t="s">
        <v>9</v>
      </c>
      <c r="C14" s="1" t="s">
        <v>23</v>
      </c>
    </row>
    <row r="15" spans="1:3" ht="51" x14ac:dyDescent="0.2">
      <c r="A15" s="9">
        <f t="shared" si="0"/>
        <v>14</v>
      </c>
      <c r="B15" s="10" t="s">
        <v>10</v>
      </c>
      <c r="C15" s="1" t="s">
        <v>24</v>
      </c>
    </row>
    <row r="16" spans="1:3" ht="17" x14ac:dyDescent="0.2">
      <c r="A16" s="9">
        <v>15</v>
      </c>
      <c r="B16" s="10" t="s">
        <v>122</v>
      </c>
      <c r="C16" s="1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0E54-D3C8-844B-A8BB-483D25DD4F23}">
  <dimension ref="A1:E19"/>
  <sheetViews>
    <sheetView workbookViewId="0">
      <selection activeCell="C6" sqref="C6"/>
    </sheetView>
  </sheetViews>
  <sheetFormatPr baseColWidth="10" defaultRowHeight="16" x14ac:dyDescent="0.2"/>
  <cols>
    <col min="2" max="2" width="12.5" bestFit="1" customWidth="1"/>
    <col min="3" max="3" width="54" customWidth="1"/>
  </cols>
  <sheetData>
    <row r="1" spans="1:5" x14ac:dyDescent="0.2">
      <c r="A1" s="2" t="s">
        <v>4</v>
      </c>
      <c r="B1" s="2" t="s">
        <v>48</v>
      </c>
      <c r="C1" s="2" t="s">
        <v>11</v>
      </c>
    </row>
    <row r="2" spans="1:5" ht="34" x14ac:dyDescent="0.2">
      <c r="A2" s="9">
        <v>1</v>
      </c>
      <c r="B2" s="9" t="s">
        <v>39</v>
      </c>
      <c r="C2" s="7" t="s">
        <v>99</v>
      </c>
      <c r="D2" s="3"/>
      <c r="E2" s="3"/>
    </row>
    <row r="3" spans="1:5" ht="35" x14ac:dyDescent="0.25">
      <c r="A3" s="9">
        <f>A2+1</f>
        <v>2</v>
      </c>
      <c r="B3" s="9" t="s">
        <v>40</v>
      </c>
      <c r="C3" s="7" t="s">
        <v>100</v>
      </c>
      <c r="D3" s="4"/>
    </row>
    <row r="4" spans="1:5" ht="35" x14ac:dyDescent="0.25">
      <c r="A4" s="9">
        <f t="shared" ref="A4:A18" si="0">A3+1</f>
        <v>3</v>
      </c>
      <c r="B4" s="9" t="s">
        <v>94</v>
      </c>
      <c r="C4" s="7" t="s">
        <v>101</v>
      </c>
      <c r="D4" s="4"/>
    </row>
    <row r="5" spans="1:5" ht="18" x14ac:dyDescent="0.25">
      <c r="A5" s="9">
        <f t="shared" si="0"/>
        <v>4</v>
      </c>
      <c r="B5" s="9" t="s">
        <v>84</v>
      </c>
      <c r="C5" s="7" t="s">
        <v>102</v>
      </c>
      <c r="D5" s="4"/>
    </row>
    <row r="6" spans="1:5" ht="18" x14ac:dyDescent="0.25">
      <c r="A6" s="9">
        <f t="shared" si="0"/>
        <v>5</v>
      </c>
      <c r="B6" s="9" t="s">
        <v>86</v>
      </c>
      <c r="C6" s="7" t="s">
        <v>103</v>
      </c>
      <c r="D6" s="4"/>
    </row>
    <row r="7" spans="1:5" ht="18" x14ac:dyDescent="0.25">
      <c r="A7" s="9">
        <f t="shared" si="0"/>
        <v>6</v>
      </c>
      <c r="B7" s="9" t="s">
        <v>87</v>
      </c>
      <c r="C7" s="7" t="s">
        <v>104</v>
      </c>
      <c r="D7" s="4"/>
    </row>
    <row r="8" spans="1:5" ht="18" x14ac:dyDescent="0.25">
      <c r="A8" s="9">
        <f t="shared" si="0"/>
        <v>7</v>
      </c>
      <c r="B8" s="9" t="s">
        <v>85</v>
      </c>
      <c r="C8" s="7" t="s">
        <v>105</v>
      </c>
      <c r="D8" s="4"/>
    </row>
    <row r="9" spans="1:5" ht="18" x14ac:dyDescent="0.25">
      <c r="A9" s="9">
        <f t="shared" si="0"/>
        <v>8</v>
      </c>
      <c r="B9" s="9" t="s">
        <v>88</v>
      </c>
      <c r="C9" s="7" t="s">
        <v>106</v>
      </c>
      <c r="D9" s="4"/>
    </row>
    <row r="10" spans="1:5" ht="18" x14ac:dyDescent="0.25">
      <c r="A10" s="9">
        <f t="shared" si="0"/>
        <v>9</v>
      </c>
      <c r="B10" s="9" t="s">
        <v>89</v>
      </c>
      <c r="C10" s="7" t="s">
        <v>107</v>
      </c>
      <c r="D10" s="4"/>
    </row>
    <row r="11" spans="1:5" ht="18" x14ac:dyDescent="0.25">
      <c r="A11" s="9">
        <f t="shared" si="0"/>
        <v>10</v>
      </c>
      <c r="B11" s="9" t="s">
        <v>90</v>
      </c>
      <c r="C11" s="7" t="s">
        <v>108</v>
      </c>
      <c r="D11" s="4"/>
    </row>
    <row r="12" spans="1:5" ht="35" x14ac:dyDescent="0.25">
      <c r="A12" s="9">
        <f t="shared" si="0"/>
        <v>11</v>
      </c>
      <c r="B12" s="9" t="s">
        <v>91</v>
      </c>
      <c r="C12" s="7" t="s">
        <v>109</v>
      </c>
      <c r="D12" s="4"/>
    </row>
    <row r="13" spans="1:5" ht="35" x14ac:dyDescent="0.25">
      <c r="A13" s="9">
        <f t="shared" si="0"/>
        <v>12</v>
      </c>
      <c r="B13" s="9" t="s">
        <v>92</v>
      </c>
      <c r="C13" s="7" t="s">
        <v>110</v>
      </c>
      <c r="D13" s="4"/>
    </row>
    <row r="14" spans="1:5" ht="35" x14ac:dyDescent="0.25">
      <c r="A14" s="9">
        <f t="shared" si="0"/>
        <v>13</v>
      </c>
      <c r="B14" s="9" t="s">
        <v>95</v>
      </c>
      <c r="C14" s="7" t="s">
        <v>111</v>
      </c>
      <c r="D14" s="4"/>
    </row>
    <row r="15" spans="1:5" ht="35" x14ac:dyDescent="0.25">
      <c r="A15" s="9">
        <f t="shared" si="0"/>
        <v>14</v>
      </c>
      <c r="B15" s="9" t="s">
        <v>96</v>
      </c>
      <c r="C15" s="7" t="s">
        <v>112</v>
      </c>
      <c r="D15" s="4"/>
    </row>
    <row r="16" spans="1:5" ht="35" x14ac:dyDescent="0.25">
      <c r="A16" s="9">
        <f t="shared" si="0"/>
        <v>15</v>
      </c>
      <c r="B16" s="9" t="s">
        <v>93</v>
      </c>
      <c r="C16" s="7" t="s">
        <v>113</v>
      </c>
      <c r="D16" s="4"/>
    </row>
    <row r="17" spans="1:4" ht="35" x14ac:dyDescent="0.25">
      <c r="A17" s="9">
        <f t="shared" si="0"/>
        <v>16</v>
      </c>
      <c r="B17" s="9" t="s">
        <v>97</v>
      </c>
      <c r="C17" s="7" t="s">
        <v>114</v>
      </c>
      <c r="D17" s="4"/>
    </row>
    <row r="18" spans="1:4" ht="35" x14ac:dyDescent="0.25">
      <c r="A18" s="9">
        <f t="shared" si="0"/>
        <v>17</v>
      </c>
      <c r="B18" s="9" t="s">
        <v>98</v>
      </c>
      <c r="C18" s="7" t="s">
        <v>115</v>
      </c>
      <c r="D18" s="4"/>
    </row>
    <row r="19" spans="1:4" ht="17" x14ac:dyDescent="0.25">
      <c r="D1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B274-693C-B143-B368-99E380D5B656}">
  <dimension ref="A1:C12"/>
  <sheetViews>
    <sheetView workbookViewId="0">
      <selection activeCell="C1" sqref="C1"/>
    </sheetView>
  </sheetViews>
  <sheetFormatPr baseColWidth="10" defaultRowHeight="16" x14ac:dyDescent="0.2"/>
  <cols>
    <col min="2" max="2" width="11.1640625" bestFit="1" customWidth="1"/>
    <col min="3" max="3" width="48.5" customWidth="1"/>
  </cols>
  <sheetData>
    <row r="1" spans="1:3" x14ac:dyDescent="0.2">
      <c r="A1" s="2" t="s">
        <v>4</v>
      </c>
      <c r="B1" s="2" t="s">
        <v>48</v>
      </c>
      <c r="C1" s="2" t="s">
        <v>11</v>
      </c>
    </row>
    <row r="2" spans="1:3" ht="17" x14ac:dyDescent="0.2">
      <c r="A2" s="9">
        <v>1</v>
      </c>
      <c r="B2" s="9" t="s">
        <v>35</v>
      </c>
      <c r="C2" s="1" t="s">
        <v>68</v>
      </c>
    </row>
    <row r="3" spans="1:3" ht="51" x14ac:dyDescent="0.2">
      <c r="A3" s="9">
        <f>A2+1</f>
        <v>2</v>
      </c>
      <c r="B3" s="9" t="s">
        <v>26</v>
      </c>
      <c r="C3" s="1" t="s">
        <v>58</v>
      </c>
    </row>
    <row r="4" spans="1:3" ht="51" x14ac:dyDescent="0.2">
      <c r="A4" s="9">
        <f t="shared" ref="A4:A12" si="0">A3+1</f>
        <v>3</v>
      </c>
      <c r="B4" s="9" t="s">
        <v>36</v>
      </c>
      <c r="C4" s="1" t="s">
        <v>59</v>
      </c>
    </row>
    <row r="5" spans="1:3" ht="34" x14ac:dyDescent="0.2">
      <c r="A5" s="9">
        <f t="shared" si="0"/>
        <v>4</v>
      </c>
      <c r="B5" s="9" t="s">
        <v>41</v>
      </c>
      <c r="C5" s="1" t="s">
        <v>60</v>
      </c>
    </row>
    <row r="6" spans="1:3" ht="34" x14ac:dyDescent="0.2">
      <c r="A6" s="9">
        <f t="shared" si="0"/>
        <v>5</v>
      </c>
      <c r="B6" s="9" t="s">
        <v>42</v>
      </c>
      <c r="C6" s="1" t="s">
        <v>61</v>
      </c>
    </row>
    <row r="7" spans="1:3" ht="34" x14ac:dyDescent="0.2">
      <c r="A7" s="9">
        <f t="shared" si="0"/>
        <v>6</v>
      </c>
      <c r="B7" s="9" t="s">
        <v>43</v>
      </c>
      <c r="C7" s="1" t="s">
        <v>62</v>
      </c>
    </row>
    <row r="8" spans="1:3" ht="34" x14ac:dyDescent="0.2">
      <c r="A8" s="9">
        <f t="shared" si="0"/>
        <v>7</v>
      </c>
      <c r="B8" s="9" t="s">
        <v>44</v>
      </c>
      <c r="C8" s="1" t="s">
        <v>63</v>
      </c>
    </row>
    <row r="9" spans="1:3" ht="51" x14ac:dyDescent="0.2">
      <c r="A9" s="9">
        <f t="shared" si="0"/>
        <v>8</v>
      </c>
      <c r="B9" s="9" t="s">
        <v>39</v>
      </c>
      <c r="C9" s="1" t="s">
        <v>64</v>
      </c>
    </row>
    <row r="10" spans="1:3" ht="34" x14ac:dyDescent="0.2">
      <c r="A10" s="9">
        <f t="shared" si="0"/>
        <v>9</v>
      </c>
      <c r="B10" s="9" t="s">
        <v>40</v>
      </c>
      <c r="C10" s="1" t="s">
        <v>65</v>
      </c>
    </row>
    <row r="11" spans="1:3" ht="34" x14ac:dyDescent="0.2">
      <c r="A11" s="9">
        <f t="shared" si="0"/>
        <v>10</v>
      </c>
      <c r="B11" s="9" t="s">
        <v>37</v>
      </c>
      <c r="C11" s="1" t="s">
        <v>66</v>
      </c>
    </row>
    <row r="12" spans="1:3" ht="51" x14ac:dyDescent="0.2">
      <c r="A12" s="9">
        <f t="shared" si="0"/>
        <v>11</v>
      </c>
      <c r="B12" s="9" t="s">
        <v>38</v>
      </c>
      <c r="C12" s="1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910B-06D8-2B4F-B230-8006D08B8A71}">
  <dimension ref="A1:E14"/>
  <sheetViews>
    <sheetView workbookViewId="0">
      <selection activeCell="F5" sqref="F5"/>
    </sheetView>
  </sheetViews>
  <sheetFormatPr baseColWidth="10" defaultRowHeight="16" x14ac:dyDescent="0.2"/>
  <cols>
    <col min="2" max="2" width="16.6640625" bestFit="1" customWidth="1"/>
    <col min="3" max="3" width="43.1640625" style="16" customWidth="1"/>
  </cols>
  <sheetData>
    <row r="1" spans="1:5" ht="17" x14ac:dyDescent="0.2">
      <c r="A1" s="5" t="s">
        <v>4</v>
      </c>
      <c r="B1" s="5" t="s">
        <v>48</v>
      </c>
      <c r="C1" s="15" t="s">
        <v>11</v>
      </c>
    </row>
    <row r="2" spans="1:5" ht="34" x14ac:dyDescent="0.2">
      <c r="A2" s="9">
        <v>1</v>
      </c>
      <c r="B2" s="9" t="s">
        <v>143</v>
      </c>
      <c r="C2" s="13" t="s">
        <v>165</v>
      </c>
    </row>
    <row r="3" spans="1:5" ht="34" x14ac:dyDescent="0.2">
      <c r="A3" s="9">
        <f>A2+1</f>
        <v>2</v>
      </c>
      <c r="B3" s="9" t="s">
        <v>39</v>
      </c>
      <c r="C3" s="13" t="s">
        <v>166</v>
      </c>
      <c r="D3" s="3"/>
      <c r="E3" s="3"/>
    </row>
    <row r="4" spans="1:5" ht="34" x14ac:dyDescent="0.25">
      <c r="A4" s="9">
        <f t="shared" ref="A4:A13" si="0">A3+1</f>
        <v>3</v>
      </c>
      <c r="B4" s="9" t="s">
        <v>40</v>
      </c>
      <c r="C4" s="13" t="s">
        <v>167</v>
      </c>
      <c r="D4" s="4"/>
    </row>
    <row r="5" spans="1:5" ht="51" x14ac:dyDescent="0.25">
      <c r="A5" s="9">
        <f t="shared" si="0"/>
        <v>4</v>
      </c>
      <c r="B5" s="9" t="s">
        <v>150</v>
      </c>
      <c r="C5" s="13" t="s">
        <v>168</v>
      </c>
      <c r="D5" s="4"/>
    </row>
    <row r="6" spans="1:5" ht="51" x14ac:dyDescent="0.25">
      <c r="A6" s="9">
        <f t="shared" si="0"/>
        <v>5</v>
      </c>
      <c r="B6" s="9" t="s">
        <v>149</v>
      </c>
      <c r="C6" s="13" t="s">
        <v>169</v>
      </c>
      <c r="D6" s="4"/>
      <c r="E6" s="14"/>
    </row>
    <row r="7" spans="1:5" ht="34" x14ac:dyDescent="0.25">
      <c r="A7" s="9">
        <f t="shared" si="0"/>
        <v>6</v>
      </c>
      <c r="B7" s="9" t="s">
        <v>151</v>
      </c>
      <c r="C7" s="13" t="s">
        <v>170</v>
      </c>
      <c r="D7" s="4"/>
    </row>
    <row r="8" spans="1:5" ht="51" x14ac:dyDescent="0.25">
      <c r="A8" s="9">
        <f t="shared" si="0"/>
        <v>7</v>
      </c>
      <c r="B8" s="9" t="s">
        <v>144</v>
      </c>
      <c r="C8" s="13" t="s">
        <v>171</v>
      </c>
      <c r="D8" s="4"/>
    </row>
    <row r="9" spans="1:5" ht="34" x14ac:dyDescent="0.25">
      <c r="A9" s="9">
        <f t="shared" si="0"/>
        <v>8</v>
      </c>
      <c r="B9" s="9" t="s">
        <v>145</v>
      </c>
      <c r="C9" s="13" t="s">
        <v>172</v>
      </c>
      <c r="D9" s="4"/>
    </row>
    <row r="10" spans="1:5" ht="36" x14ac:dyDescent="0.25">
      <c r="A10" s="9">
        <f t="shared" si="0"/>
        <v>9</v>
      </c>
      <c r="B10" s="9" t="s">
        <v>146</v>
      </c>
      <c r="C10" s="13" t="s">
        <v>173</v>
      </c>
      <c r="D10" s="4"/>
    </row>
    <row r="11" spans="1:5" ht="34" x14ac:dyDescent="0.25">
      <c r="A11" s="9">
        <f t="shared" si="0"/>
        <v>10</v>
      </c>
      <c r="B11" s="9" t="s">
        <v>127</v>
      </c>
      <c r="C11" s="13" t="s">
        <v>174</v>
      </c>
      <c r="D11" s="4"/>
    </row>
    <row r="12" spans="1:5" ht="51" x14ac:dyDescent="0.25">
      <c r="A12" s="9">
        <f t="shared" si="0"/>
        <v>11</v>
      </c>
      <c r="B12" s="9" t="s">
        <v>147</v>
      </c>
      <c r="C12" s="13" t="s">
        <v>175</v>
      </c>
      <c r="D12" s="4"/>
    </row>
    <row r="13" spans="1:5" ht="17" x14ac:dyDescent="0.25">
      <c r="D13" s="4"/>
    </row>
    <row r="14" spans="1:5" ht="17" x14ac:dyDescent="0.25">
      <c r="D1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0C15-DE3C-E44E-9488-55756EC7DA23}">
  <dimension ref="A1:E16"/>
  <sheetViews>
    <sheetView workbookViewId="0">
      <selection activeCell="E5" sqref="E5"/>
    </sheetView>
  </sheetViews>
  <sheetFormatPr baseColWidth="10" defaultRowHeight="16" x14ac:dyDescent="0.2"/>
  <cols>
    <col min="2" max="2" width="19.33203125" bestFit="1" customWidth="1"/>
    <col min="3" max="3" width="50.6640625" style="8" customWidth="1"/>
  </cols>
  <sheetData>
    <row r="1" spans="1:5" ht="17" x14ac:dyDescent="0.2">
      <c r="A1" s="2" t="s">
        <v>4</v>
      </c>
      <c r="B1" s="2" t="s">
        <v>3</v>
      </c>
      <c r="C1" s="6" t="s">
        <v>11</v>
      </c>
    </row>
    <row r="2" spans="1:5" ht="51" x14ac:dyDescent="0.2">
      <c r="A2" s="9">
        <v>1</v>
      </c>
      <c r="B2" s="9" t="s">
        <v>35</v>
      </c>
      <c r="C2" s="7" t="s">
        <v>69</v>
      </c>
      <c r="D2" s="3"/>
      <c r="E2" s="3"/>
    </row>
    <row r="3" spans="1:5" ht="35" x14ac:dyDescent="0.25">
      <c r="A3" s="9">
        <f>A2+1</f>
        <v>2</v>
      </c>
      <c r="B3" s="9" t="s">
        <v>26</v>
      </c>
      <c r="C3" s="7" t="s">
        <v>70</v>
      </c>
      <c r="D3" s="4"/>
    </row>
    <row r="4" spans="1:5" ht="35" x14ac:dyDescent="0.25">
      <c r="A4" s="9">
        <f t="shared" ref="A4:A15" si="0">A3+1</f>
        <v>3</v>
      </c>
      <c r="B4" s="9" t="s">
        <v>36</v>
      </c>
      <c r="C4" s="7" t="s">
        <v>71</v>
      </c>
      <c r="D4" s="4"/>
    </row>
    <row r="5" spans="1:5" ht="35" x14ac:dyDescent="0.25">
      <c r="A5" s="9">
        <f t="shared" si="0"/>
        <v>4</v>
      </c>
      <c r="B5" s="9" t="s">
        <v>45</v>
      </c>
      <c r="C5" s="7" t="s">
        <v>72</v>
      </c>
      <c r="D5" s="4"/>
    </row>
    <row r="6" spans="1:5" ht="35" x14ac:dyDescent="0.25">
      <c r="A6" s="9">
        <f t="shared" si="0"/>
        <v>5</v>
      </c>
      <c r="B6" s="9" t="s">
        <v>49</v>
      </c>
      <c r="C6" s="7" t="s">
        <v>73</v>
      </c>
      <c r="D6" s="4"/>
    </row>
    <row r="7" spans="1:5" ht="35" x14ac:dyDescent="0.25">
      <c r="A7" s="9">
        <f t="shared" si="0"/>
        <v>6</v>
      </c>
      <c r="B7" s="9" t="s">
        <v>46</v>
      </c>
      <c r="C7" s="7" t="s">
        <v>74</v>
      </c>
      <c r="D7" s="4"/>
    </row>
    <row r="8" spans="1:5" ht="35" x14ac:dyDescent="0.25">
      <c r="A8" s="9">
        <f t="shared" si="0"/>
        <v>7</v>
      </c>
      <c r="B8" s="9" t="s">
        <v>50</v>
      </c>
      <c r="C8" s="7" t="s">
        <v>75</v>
      </c>
      <c r="D8" s="4"/>
    </row>
    <row r="9" spans="1:5" ht="52" x14ac:dyDescent="0.25">
      <c r="A9" s="9">
        <f t="shared" si="0"/>
        <v>8</v>
      </c>
      <c r="B9" s="9" t="s">
        <v>52</v>
      </c>
      <c r="C9" s="7" t="s">
        <v>76</v>
      </c>
      <c r="D9" s="4"/>
    </row>
    <row r="10" spans="1:5" ht="35" x14ac:dyDescent="0.25">
      <c r="A10" s="9">
        <f t="shared" si="0"/>
        <v>9</v>
      </c>
      <c r="B10" s="9" t="s">
        <v>51</v>
      </c>
      <c r="C10" s="7" t="s">
        <v>77</v>
      </c>
      <c r="D10" s="4"/>
    </row>
    <row r="11" spans="1:5" ht="52" x14ac:dyDescent="0.25">
      <c r="A11" s="9">
        <f t="shared" si="0"/>
        <v>10</v>
      </c>
      <c r="B11" s="9" t="s">
        <v>53</v>
      </c>
      <c r="C11" s="7" t="s">
        <v>78</v>
      </c>
      <c r="D11" s="4"/>
    </row>
    <row r="12" spans="1:5" ht="52" x14ac:dyDescent="0.25">
      <c r="A12" s="9">
        <f t="shared" si="0"/>
        <v>11</v>
      </c>
      <c r="B12" s="9" t="s">
        <v>54</v>
      </c>
      <c r="C12" s="7" t="s">
        <v>79</v>
      </c>
      <c r="D12" s="4"/>
    </row>
    <row r="13" spans="1:5" ht="35" x14ac:dyDescent="0.25">
      <c r="A13" s="9">
        <f t="shared" si="0"/>
        <v>12</v>
      </c>
      <c r="B13" s="9" t="s">
        <v>55</v>
      </c>
      <c r="C13" s="7" t="s">
        <v>80</v>
      </c>
      <c r="D13" s="4"/>
    </row>
    <row r="14" spans="1:5" ht="52" x14ac:dyDescent="0.25">
      <c r="A14" s="9">
        <f t="shared" si="0"/>
        <v>13</v>
      </c>
      <c r="B14" s="9" t="s">
        <v>56</v>
      </c>
      <c r="C14" s="7" t="s">
        <v>81</v>
      </c>
      <c r="D14" s="4"/>
    </row>
    <row r="15" spans="1:5" ht="35" x14ac:dyDescent="0.25">
      <c r="A15" s="9">
        <f t="shared" si="0"/>
        <v>14</v>
      </c>
      <c r="B15" s="9" t="s">
        <v>57</v>
      </c>
      <c r="C15" s="7" t="s">
        <v>82</v>
      </c>
      <c r="D15" s="4"/>
    </row>
    <row r="16" spans="1:5" ht="17" x14ac:dyDescent="0.25">
      <c r="D1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044C-DF12-D740-9B41-60C8668835BA}">
  <dimension ref="A1:I15"/>
  <sheetViews>
    <sheetView workbookViewId="0">
      <selection activeCell="G5" sqref="G5"/>
    </sheetView>
  </sheetViews>
  <sheetFormatPr baseColWidth="10" defaultRowHeight="16" x14ac:dyDescent="0.2"/>
  <cols>
    <col min="2" max="2" width="16.6640625" bestFit="1" customWidth="1"/>
    <col min="3" max="3" width="43.6640625" customWidth="1"/>
  </cols>
  <sheetData>
    <row r="1" spans="1:9" x14ac:dyDescent="0.2">
      <c r="A1" s="5" t="s">
        <v>136</v>
      </c>
      <c r="B1" s="5" t="s">
        <v>48</v>
      </c>
      <c r="C1" s="5" t="s">
        <v>11</v>
      </c>
    </row>
    <row r="2" spans="1:9" ht="51" x14ac:dyDescent="0.2">
      <c r="A2" s="9">
        <v>1</v>
      </c>
      <c r="B2" s="9" t="s">
        <v>148</v>
      </c>
      <c r="C2" s="13" t="s">
        <v>176</v>
      </c>
    </row>
    <row r="3" spans="1:9" ht="34" x14ac:dyDescent="0.2">
      <c r="A3" s="9">
        <f>A2+1</f>
        <v>2</v>
      </c>
      <c r="B3" s="9" t="s">
        <v>150</v>
      </c>
      <c r="C3" s="13" t="s">
        <v>177</v>
      </c>
    </row>
    <row r="4" spans="1:9" ht="51" x14ac:dyDescent="0.2">
      <c r="A4" s="9">
        <f t="shared" ref="A4:A9" si="0">A3+1</f>
        <v>3</v>
      </c>
      <c r="B4" s="9" t="s">
        <v>149</v>
      </c>
      <c r="C4" s="13" t="s">
        <v>178</v>
      </c>
    </row>
    <row r="5" spans="1:9" ht="34" x14ac:dyDescent="0.2">
      <c r="A5" s="9">
        <f t="shared" si="0"/>
        <v>4</v>
      </c>
      <c r="B5" s="9" t="s">
        <v>151</v>
      </c>
      <c r="C5" s="13" t="s">
        <v>179</v>
      </c>
    </row>
    <row r="6" spans="1:9" ht="34" x14ac:dyDescent="0.2">
      <c r="A6" s="9">
        <f t="shared" si="0"/>
        <v>5</v>
      </c>
      <c r="B6" s="9" t="s">
        <v>152</v>
      </c>
      <c r="C6" s="13" t="s">
        <v>180</v>
      </c>
    </row>
    <row r="7" spans="1:9" ht="34" x14ac:dyDescent="0.2">
      <c r="A7" s="9">
        <f t="shared" si="0"/>
        <v>6</v>
      </c>
      <c r="B7" s="9" t="s">
        <v>127</v>
      </c>
      <c r="C7" s="13" t="s">
        <v>181</v>
      </c>
      <c r="H7" s="3"/>
      <c r="I7" s="3"/>
    </row>
    <row r="8" spans="1:9" ht="34" x14ac:dyDescent="0.25">
      <c r="A8" s="9">
        <f t="shared" si="0"/>
        <v>7</v>
      </c>
      <c r="B8" s="9" t="s">
        <v>128</v>
      </c>
      <c r="C8" s="13" t="s">
        <v>182</v>
      </c>
      <c r="H8" s="4"/>
    </row>
    <row r="9" spans="1:9" ht="34" x14ac:dyDescent="0.25">
      <c r="A9" s="9">
        <f t="shared" si="0"/>
        <v>8</v>
      </c>
      <c r="B9" s="9" t="s">
        <v>129</v>
      </c>
      <c r="C9" s="13" t="s">
        <v>183</v>
      </c>
      <c r="H9" s="4"/>
    </row>
    <row r="10" spans="1:9" ht="17" x14ac:dyDescent="0.25">
      <c r="H10" s="4"/>
    </row>
    <row r="11" spans="1:9" ht="17" x14ac:dyDescent="0.25">
      <c r="H11" s="4"/>
    </row>
    <row r="12" spans="1:9" ht="17" x14ac:dyDescent="0.25">
      <c r="H12" s="4"/>
    </row>
    <row r="13" spans="1:9" ht="17" x14ac:dyDescent="0.25">
      <c r="H13" s="4"/>
    </row>
    <row r="14" spans="1:9" ht="17" x14ac:dyDescent="0.25">
      <c r="H14" s="4"/>
    </row>
    <row r="15" spans="1:9" ht="17" x14ac:dyDescent="0.25">
      <c r="H1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DB1F-7792-0846-87DF-C2ED1F561F81}">
  <dimension ref="A1:G16"/>
  <sheetViews>
    <sheetView zoomScaleNormal="100" workbookViewId="0">
      <selection activeCell="C4" sqref="C4"/>
    </sheetView>
  </sheetViews>
  <sheetFormatPr baseColWidth="10" defaultRowHeight="16" x14ac:dyDescent="0.2"/>
  <cols>
    <col min="2" max="2" width="23.83203125" bestFit="1" customWidth="1"/>
    <col min="3" max="3" width="42.83203125" style="16" customWidth="1"/>
  </cols>
  <sheetData>
    <row r="1" spans="1:7" ht="17" x14ac:dyDescent="0.2">
      <c r="A1" s="2" t="s">
        <v>4</v>
      </c>
      <c r="B1" s="2" t="s">
        <v>48</v>
      </c>
      <c r="C1" s="15" t="s">
        <v>11</v>
      </c>
    </row>
    <row r="2" spans="1:7" ht="51" x14ac:dyDescent="0.2">
      <c r="A2" s="9">
        <v>1</v>
      </c>
      <c r="B2" s="9" t="s">
        <v>131</v>
      </c>
      <c r="C2" s="13" t="s">
        <v>184</v>
      </c>
    </row>
    <row r="3" spans="1:7" ht="17" x14ac:dyDescent="0.2">
      <c r="A3" s="9">
        <f>A2+1</f>
        <v>2</v>
      </c>
      <c r="B3" s="9" t="s">
        <v>119</v>
      </c>
      <c r="C3" s="13" t="s">
        <v>185</v>
      </c>
    </row>
    <row r="4" spans="1:7" ht="34" x14ac:dyDescent="0.2">
      <c r="A4" s="9">
        <f t="shared" ref="A4:A17" si="0">A3+1</f>
        <v>3</v>
      </c>
      <c r="B4" s="9" t="s">
        <v>6</v>
      </c>
      <c r="C4" s="13" t="s">
        <v>186</v>
      </c>
    </row>
    <row r="5" spans="1:7" ht="34" x14ac:dyDescent="0.2">
      <c r="A5" s="9">
        <f t="shared" si="0"/>
        <v>4</v>
      </c>
      <c r="B5" s="9" t="s">
        <v>130</v>
      </c>
      <c r="C5" s="13" t="s">
        <v>187</v>
      </c>
    </row>
    <row r="6" spans="1:7" ht="34" x14ac:dyDescent="0.2">
      <c r="A6" s="9">
        <f t="shared" si="0"/>
        <v>5</v>
      </c>
      <c r="B6" s="9" t="s">
        <v>132</v>
      </c>
      <c r="C6" s="13" t="s">
        <v>188</v>
      </c>
      <c r="F6" s="3"/>
      <c r="G6" s="3"/>
    </row>
    <row r="7" spans="1:7" ht="51" x14ac:dyDescent="0.25">
      <c r="A7" s="9">
        <f t="shared" si="0"/>
        <v>6</v>
      </c>
      <c r="B7" s="9" t="s">
        <v>133</v>
      </c>
      <c r="C7" s="13" t="s">
        <v>189</v>
      </c>
      <c r="F7" s="4"/>
    </row>
    <row r="8" spans="1:7" ht="51" x14ac:dyDescent="0.25">
      <c r="A8" s="9">
        <f t="shared" si="0"/>
        <v>7</v>
      </c>
      <c r="B8" s="9" t="s">
        <v>134</v>
      </c>
      <c r="C8" s="13" t="s">
        <v>190</v>
      </c>
      <c r="F8" s="4"/>
    </row>
    <row r="9" spans="1:7" ht="34" x14ac:dyDescent="0.25">
      <c r="A9" s="9">
        <f t="shared" si="0"/>
        <v>8</v>
      </c>
      <c r="B9" s="9" t="s">
        <v>135</v>
      </c>
      <c r="C9" s="13" t="s">
        <v>191</v>
      </c>
      <c r="F9" s="4"/>
    </row>
    <row r="10" spans="1:7" ht="34" x14ac:dyDescent="0.25">
      <c r="A10" s="9">
        <f t="shared" si="0"/>
        <v>9</v>
      </c>
      <c r="B10" s="9" t="s">
        <v>128</v>
      </c>
      <c r="C10" s="13" t="s">
        <v>192</v>
      </c>
      <c r="F10" s="4"/>
    </row>
    <row r="11" spans="1:7" ht="51" x14ac:dyDescent="0.25">
      <c r="A11" s="9">
        <f t="shared" si="0"/>
        <v>10</v>
      </c>
      <c r="B11" s="9" t="s">
        <v>129</v>
      </c>
      <c r="C11" s="13" t="s">
        <v>193</v>
      </c>
      <c r="F11" s="4"/>
    </row>
    <row r="12" spans="1:7" ht="17" x14ac:dyDescent="0.25">
      <c r="F12" s="4"/>
    </row>
    <row r="13" spans="1:7" ht="17" x14ac:dyDescent="0.25">
      <c r="F13" s="4"/>
    </row>
    <row r="14" spans="1:7" ht="17" x14ac:dyDescent="0.25">
      <c r="F14" s="4"/>
    </row>
    <row r="15" spans="1:7" ht="17" x14ac:dyDescent="0.25">
      <c r="F15" s="4"/>
    </row>
    <row r="16" spans="1:7" ht="17" x14ac:dyDescent="0.25">
      <c r="F1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3183-F590-FB49-9E9A-BF01E764E47E}">
  <dimension ref="A1:O21"/>
  <sheetViews>
    <sheetView workbookViewId="0">
      <selection activeCell="F9" sqref="F9"/>
    </sheetView>
  </sheetViews>
  <sheetFormatPr baseColWidth="10" defaultRowHeight="16" x14ac:dyDescent="0.2"/>
  <cols>
    <col min="2" max="2" width="12.6640625" bestFit="1" customWidth="1"/>
    <col min="3" max="3" width="43.6640625" style="8" customWidth="1"/>
    <col min="14" max="14" width="68.6640625" bestFit="1" customWidth="1"/>
  </cols>
  <sheetData>
    <row r="1" spans="1:15" ht="17" x14ac:dyDescent="0.2">
      <c r="A1" s="5" t="s">
        <v>136</v>
      </c>
      <c r="B1" s="5" t="s">
        <v>48</v>
      </c>
      <c r="C1" s="6" t="s">
        <v>137</v>
      </c>
    </row>
    <row r="2" spans="1:15" ht="17" x14ac:dyDescent="0.2">
      <c r="A2" s="9">
        <v>1</v>
      </c>
      <c r="B2" s="9" t="s">
        <v>138</v>
      </c>
      <c r="C2" s="7" t="s">
        <v>195</v>
      </c>
    </row>
    <row r="3" spans="1:15" ht="34" x14ac:dyDescent="0.2">
      <c r="A3" s="9">
        <v>3</v>
      </c>
      <c r="B3" s="9" t="s">
        <v>140</v>
      </c>
      <c r="C3" s="17" t="s">
        <v>205</v>
      </c>
    </row>
    <row r="4" spans="1:15" ht="17" x14ac:dyDescent="0.2">
      <c r="A4" s="9">
        <v>4</v>
      </c>
      <c r="B4" s="9" t="s">
        <v>128</v>
      </c>
      <c r="C4" s="7" t="s">
        <v>199</v>
      </c>
    </row>
    <row r="5" spans="1:15" ht="17" x14ac:dyDescent="0.2">
      <c r="A5" s="9">
        <v>5</v>
      </c>
      <c r="B5" s="9" t="s">
        <v>129</v>
      </c>
      <c r="C5" s="7" t="s">
        <v>201</v>
      </c>
    </row>
    <row r="6" spans="1:15" ht="34" x14ac:dyDescent="0.2">
      <c r="A6" s="9">
        <v>6</v>
      </c>
      <c r="B6" s="9" t="s">
        <v>139</v>
      </c>
      <c r="C6" s="7" t="s">
        <v>203</v>
      </c>
    </row>
    <row r="15" spans="1:15" x14ac:dyDescent="0.2">
      <c r="M15" s="3"/>
      <c r="N15" s="3"/>
      <c r="O15" s="3" t="s">
        <v>194</v>
      </c>
    </row>
    <row r="16" spans="1:15" x14ac:dyDescent="0.2">
      <c r="M16" s="3"/>
      <c r="O16" s="12" t="s">
        <v>196</v>
      </c>
    </row>
    <row r="17" spans="13:15" x14ac:dyDescent="0.2">
      <c r="M17" s="3"/>
      <c r="O17" s="12" t="s">
        <v>197</v>
      </c>
    </row>
    <row r="18" spans="13:15" x14ac:dyDescent="0.2">
      <c r="M18" s="3"/>
      <c r="O18" s="12" t="s">
        <v>198</v>
      </c>
    </row>
    <row r="19" spans="13:15" x14ac:dyDescent="0.2">
      <c r="M19" s="3"/>
      <c r="O19" s="12" t="s">
        <v>200</v>
      </c>
    </row>
    <row r="20" spans="13:15" x14ac:dyDescent="0.2">
      <c r="M20" s="3"/>
      <c r="O20" s="12" t="s">
        <v>202</v>
      </c>
    </row>
    <row r="21" spans="13:15" x14ac:dyDescent="0.2">
      <c r="M21" s="3"/>
      <c r="O21" s="1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Datasets</vt:lpstr>
      <vt:lpstr>YardInfo</vt:lpstr>
      <vt:lpstr>EquipmentInfo</vt:lpstr>
      <vt:lpstr>BOLInfo</vt:lpstr>
      <vt:lpstr>TripsInfo</vt:lpstr>
      <vt:lpstr>CostInfo</vt:lpstr>
      <vt:lpstr>EquipmentTracking</vt:lpstr>
      <vt:lpstr>RateCard</vt:lpstr>
      <vt:lpstr>YardEquipmentPricing</vt:lpstr>
      <vt:lpstr>PricingTiers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Anshal Chopra</dc:creator>
  <cp:lastModifiedBy>Anshal Chopra</cp:lastModifiedBy>
  <dcterms:created xsi:type="dcterms:W3CDTF">2025-12-16T05:39:19Z</dcterms:created>
  <dcterms:modified xsi:type="dcterms:W3CDTF">2025-12-17T06:12:17Z</dcterms:modified>
</cp:coreProperties>
</file>